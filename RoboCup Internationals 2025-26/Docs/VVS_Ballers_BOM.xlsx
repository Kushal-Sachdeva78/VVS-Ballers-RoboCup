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Notes &amp; price 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<sst xmlns="http://schemas.openxmlformats.org/spreadsheetml/2006/main" count="77" uniqueCount="69">
  <si>
    <t xml:space="preserve">Name of the part</t>
  </si>
  <si>
    <t xml:space="preserve">How many used</t>
  </si>
  <si>
    <t xml:space="preserve">Link where it can be bought</t>
  </si>
  <si>
    <t xml:space="preserve">Cost of one piece</t>
  </si>
  <si>
    <t xml:space="preserve">Total cost per part</t>
  </si>
  <si>
    <t xml:space="preserve">Total cost of 2 Robots</t>
  </si>
  <si>
    <t xml:space="preserve">Teensy 4.1 (main, IR-ring &amp; line-ring boards — 3 per robot)</t>
  </si>
  <si>
    <t xml:space="preserve">https://www.pjrc.com/store/teensy41.html</t>
  </si>
  <si>
    <t xml:space="preserve">Arduino Nano Every (ultrasonic board + motor-current limiter — 2 per robot)</t>
  </si>
  <si>
    <t xml:space="preserve">https://store.arduino.cc/products/arduino-nano-every</t>
  </si>
  <si>
    <t xml:space="preserve">BNO055 9-DOF IMU (heading)</t>
  </si>
  <si>
    <t xml:space="preserve">https://www.adafruit.com/product/2472</t>
  </si>
  <si>
    <t xml:space="preserve">TSSP58038 IR receiver (16-sensor ball ring)</t>
  </si>
  <si>
    <t xml:space="preserve">https://www.pololu.com/product/2579</t>
  </si>
  <si>
    <t xml:space="preserve">QTR-MD-05A reflectance array (4 per robot, line ring)</t>
  </si>
  <si>
    <t xml:space="preserve">https://www.pololu.com/product/4351</t>
  </si>
  <si>
    <t xml:space="preserve">HC-SR04 ultrasonic (4 ring + 1 capture mouth = 5 per robot)</t>
  </si>
  <si>
    <t xml:space="preserve">https://www.adafruit.com/product/3942</t>
  </si>
  <si>
    <t xml:space="preserve">DRV8263H brushed motor driver (4 per robot)</t>
  </si>
  <si>
    <t xml:space="preserve">https://www.ti.com/product/DRV8263</t>
  </si>
  <si>
    <t xml:space="preserve">Pololu 20D mm metal gearmotor 12V (drive, 4 per robot)</t>
  </si>
  <si>
    <t xml:space="preserve">https://www.pololu.com/category/115/20d-mm-metal-gearmotors</t>
  </si>
  <si>
    <t xml:space="preserve">Omni wheels — self-designed, 3D-printed PETG + TPU (4 per robot)</t>
  </si>
  <si>
    <t xml:space="preserve">made at home</t>
  </si>
  <si>
    <t xml:space="preserve">OpenMV H7 R2 camera (goal vision)</t>
  </si>
  <si>
    <t xml:space="preserve">https://openmv.io/products/openmv-cam-h7-r2</t>
  </si>
  <si>
    <t xml:space="preserve">Solenoid kicker actuator (push-type, 48 V)</t>
  </si>
  <si>
    <t xml:space="preserve">https://www.aliexpress.com (push-pull solenoid)</t>
  </si>
  <si>
    <t xml:space="preserve">Relay module (kicker drive)</t>
  </si>
  <si>
    <t xml:space="preserve">https://www.aliexpress.com (1-ch relay module)</t>
  </si>
  <si>
    <t xml:space="preserve">Main PCB — custom, JLCPCB</t>
  </si>
  <si>
    <t xml:space="preserve">https://jlcpcb.com</t>
  </si>
  <si>
    <t xml:space="preserve">IR PCB — custom, JLCPCB</t>
  </si>
  <si>
    <t xml:space="preserve">Line PCB — custom, JLCPCB</t>
  </si>
  <si>
    <t xml:space="preserve">Ultrasonic PCB — custom, JLCPCB</t>
  </si>
  <si>
    <t xml:space="preserve">Power PCB — custom, JLCPCB</t>
  </si>
  <si>
    <t xml:space="preserve">48 V step-up (boost) converter — solenoid supply</t>
  </si>
  <si>
    <t xml:space="preserve">https://www.aliexpress.com (XL6019/boost module)</t>
  </si>
  <si>
    <t xml:space="preserve">5 V step-down (buck) converter</t>
  </si>
  <si>
    <t xml:space="preserve">https://www.aliexpress.com (buck module)</t>
  </si>
  <si>
    <t xml:space="preserve">3.3 V step-down (buck) converter</t>
  </si>
  <si>
    <t xml:space="preserve">LiPo battery 12 V (3S)</t>
  </si>
  <si>
    <t xml:space="preserve">https://www.aliexpress.com (3S LiPo)</t>
  </si>
  <si>
    <t xml:space="preserve">Battery capacity indicator</t>
  </si>
  <si>
    <t xml:space="preserve">https://www.aliexpress.com</t>
  </si>
  <si>
    <t xml:space="preserve">Main power switch + fuse holder</t>
  </si>
  <si>
    <t xml:space="preserve">3D-printed chassis &amp; mounts — PETG (per robot set)</t>
  </si>
  <si>
    <t xml:space="preserve">Misc: bulk capacitors, connectors, headers, wiring (per robot)</t>
  </si>
  <si>
    <t xml:space="preserve">TOTAL (both robots)</t>
  </si>
  <si>
    <t xml:space="preserve">VVS Ballers — Bill of Materials (RoboCupJunior Soccer Infrared, Internationals 2025-26)</t>
  </si>
  <si>
    <t xml:space="preserve">Format follows the official BOM template columns exactly. Quantities are for the SET OF 2 ROBOTS</t>
  </si>
  <si>
    <t xml:space="preserve">(per-robot count x 2), matching the template (e.g. 4 motors/robot -&gt; 8).</t>
  </si>
  <si>
    <t xml:space="preserve">Currency: EUR. 1 EUR = 1.14 USD (per the form's stated example rate — confirm current rate at submission).</t>
  </si>
  <si>
    <t xml:space="preserve">PRICES ARE RESEARCHED MARKET ESTIMATES, not the team's actual paid invoices. The BOM total below</t>
  </si>
  <si>
    <t xml:space="preserve">(~EUR 1,160) is lower than the team's stated ~EUR 700/robot (=1,400) — likely due to local/import</t>
  </si>
  <si>
    <t xml:space="preserve">pricing, shipping and duties in India. &gt;&gt;&gt; Replace unit prices with your actual paid prices before submitting.</t>
  </si>
  <si>
    <t xml:space="preserve">Items to VERIFY / confirm (flagged):</t>
  </si>
  <si>
    <t xml:space="preserve"> - Pololu gearmotor: confirm exact model/gear ratio &amp; price (the template example shows a Pololu motor at 34,91 EUR).</t>
  </si>
  <si>
    <t xml:space="preserve"> - QTR-MD-05A: confirm Pololu SKU (#4351) and price.</t>
  </si>
  <si>
    <t xml:space="preserve"> - DRV8263H: confirm whether bought as bare IC or breakout module, and unit price.</t>
  </si>
  <si>
    <t xml:space="preserve"> - BNO055: genuine Adafruit (~25 EUR) vs GY-BNO055 clone (~12 EUR) — pick what you used.</t>
  </si>
  <si>
    <t xml:space="preserve"> - Solenoid: confirm exact actuator model, stroke/force and price.</t>
  </si>
  <si>
    <t xml:space="preserve"> - Custom PCB unit prices (JLCPCB) depend on order qty (MOQ 5) and assembly — use your invoice.</t>
  </si>
  <si>
    <t xml:space="preserve"> - OpenMV H7: confirm if the DEFENDER also carries a camera, or only the attacker (affects qty).</t>
  </si>
  <si>
    <t xml:space="preserve"> - LiPo battery: confirm cell count (3S/4S) and capacity.</t>
  </si>
  <si>
    <t xml:space="preserve">PCB PRICES CONFIRMED from JLCPCB invoice (orders Y16/Y17/Y19/Y24/Y25):</t>
  </si>
  <si>
    <t xml:space="preserve">  Main 2.0 $3.90, IR $3.50, Line $4.36, Ultrasonic $3.46, Power $3.02 per board (MOQ 5 each).</t>
  </si>
  <si>
    <t xml:space="preserve">  Converted USD-&gt;EUR at 1 EUR = 1.14 USD. Qty = 2 (boards in the 2 robots); extra 3 of each are spares.</t>
  </si>
  <si>
    <t xml:space="preserve">  JLC merchandise $91.20 + shipping $55.87 = $147.07; shipping &amp; spare boards go under Spare Parts/Experiments, not per-part.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</si>
</sst>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1155C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20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n">
        <v>6</v>
      </c>
      <c r="C2" s="5" t="s">
        <v>7</v>
      </c>
      <c r="D2" s="6" t="n">
        <v>32</v>
      </c>
      <c r="E2" s="6" t="n">
        <f aca="false">B2*D2</f>
        <v>192</v>
      </c>
    </row>
    <row r="3" customFormat="false" ht="15" hidden="false" customHeight="true" outlineLevel="0" collapsed="false">
      <c r="A3" s="3" t="s">
        <v>8</v>
      </c>
      <c r="B3" s="4" t="n">
        <v>4</v>
      </c>
      <c r="C3" s="5" t="s">
        <v>9</v>
      </c>
      <c r="D3" s="6" t="n">
        <v>16</v>
      </c>
      <c r="E3" s="6" t="n">
        <f aca="false">B3*D3</f>
        <v>64</v>
      </c>
    </row>
    <row r="4" customFormat="false" ht="15" hidden="false" customHeight="true" outlineLevel="0" collapsed="false">
      <c r="A4" s="3" t="s">
        <v>10</v>
      </c>
      <c r="B4" s="4" t="n">
        <v>2</v>
      </c>
      <c r="C4" s="5" t="s">
        <v>11</v>
      </c>
      <c r="D4" s="6" t="n">
        <v>25</v>
      </c>
      <c r="E4" s="6" t="n">
        <f aca="false">B4*D4</f>
        <v>50</v>
      </c>
    </row>
    <row r="5" customFormat="false" ht="15" hidden="false" customHeight="true" outlineLevel="0" collapsed="false">
      <c r="A5" s="3" t="s">
        <v>12</v>
      </c>
      <c r="B5" s="4" t="n">
        <v>32</v>
      </c>
      <c r="C5" s="5" t="s">
        <v>13</v>
      </c>
      <c r="D5" s="6" t="n">
        <v>1.2</v>
      </c>
      <c r="E5" s="6" t="n">
        <f aca="false">B5*D5</f>
        <v>38.4</v>
      </c>
    </row>
    <row r="6" customFormat="false" ht="15" hidden="false" customHeight="true" outlineLevel="0" collapsed="false">
      <c r="A6" s="3" t="s">
        <v>14</v>
      </c>
      <c r="B6" s="4" t="n">
        <v>8</v>
      </c>
      <c r="C6" s="5" t="s">
        <v>15</v>
      </c>
      <c r="D6" s="6" t="n">
        <v>8</v>
      </c>
      <c r="E6" s="6" t="n">
        <f aca="false">B6*D6</f>
        <v>64</v>
      </c>
    </row>
    <row r="7" customFormat="false" ht="15" hidden="false" customHeight="true" outlineLevel="0" collapsed="false">
      <c r="A7" s="3" t="s">
        <v>16</v>
      </c>
      <c r="B7" s="4" t="n">
        <v>10</v>
      </c>
      <c r="C7" s="5" t="s">
        <v>17</v>
      </c>
      <c r="D7" s="6" t="n">
        <v>2</v>
      </c>
      <c r="E7" s="6" t="n">
        <f aca="false">B7*D7</f>
        <v>20</v>
      </c>
    </row>
    <row r="8" customFormat="false" ht="15" hidden="false" customHeight="true" outlineLevel="0" collapsed="false">
      <c r="A8" s="3" t="s">
        <v>18</v>
      </c>
      <c r="B8" s="4" t="n">
        <v>8</v>
      </c>
      <c r="C8" s="5" t="s">
        <v>19</v>
      </c>
      <c r="D8" s="6" t="n">
        <v>5</v>
      </c>
      <c r="E8" s="6" t="n">
        <f aca="false">B8*D8</f>
        <v>40</v>
      </c>
    </row>
    <row r="9" customFormat="false" ht="15" hidden="false" customHeight="true" outlineLevel="0" collapsed="false">
      <c r="A9" s="3" t="s">
        <v>20</v>
      </c>
      <c r="B9" s="4" t="n">
        <v>8</v>
      </c>
      <c r="C9" s="5" t="s">
        <v>21</v>
      </c>
      <c r="D9" s="6" t="n">
        <v>26</v>
      </c>
      <c r="E9" s="6" t="n">
        <f aca="false">B9*D9</f>
        <v>208</v>
      </c>
    </row>
    <row r="10" customFormat="false" ht="15" hidden="false" customHeight="true" outlineLevel="0" collapsed="false">
      <c r="A10" s="3" t="s">
        <v>22</v>
      </c>
      <c r="B10" s="4" t="n">
        <v>8</v>
      </c>
      <c r="C10" s="5" t="s">
        <v>23</v>
      </c>
      <c r="D10" s="6" t="n">
        <v>10</v>
      </c>
      <c r="E10" s="6" t="n">
        <f aca="false">B10*D10</f>
        <v>80</v>
      </c>
    </row>
    <row r="11" customFormat="false" ht="15" hidden="false" customHeight="true" outlineLevel="0" collapsed="false">
      <c r="A11" s="3" t="s">
        <v>24</v>
      </c>
      <c r="B11" s="4" t="n">
        <v>2</v>
      </c>
      <c r="C11" s="5" t="s">
        <v>25</v>
      </c>
      <c r="D11" s="6" t="n">
        <v>80</v>
      </c>
      <c r="E11" s="6" t="n">
        <f aca="false">B11*D11</f>
        <v>160</v>
      </c>
    </row>
    <row r="12" customFormat="false" ht="15" hidden="false" customHeight="true" outlineLevel="0" collapsed="false">
      <c r="A12" s="3" t="s">
        <v>26</v>
      </c>
      <c r="B12" s="4" t="n">
        <v>2</v>
      </c>
      <c r="C12" s="5" t="s">
        <v>27</v>
      </c>
      <c r="D12" s="6" t="n">
        <v>12</v>
      </c>
      <c r="E12" s="6" t="n">
        <f aca="false">B12*D12</f>
        <v>24</v>
      </c>
    </row>
    <row r="13" customFormat="false" ht="15" hidden="false" customHeight="true" outlineLevel="0" collapsed="false">
      <c r="A13" s="3" t="s">
        <v>28</v>
      </c>
      <c r="B13" s="4" t="n">
        <v>2</v>
      </c>
      <c r="C13" s="5" t="s">
        <v>29</v>
      </c>
      <c r="D13" s="6" t="n">
        <v>3</v>
      </c>
      <c r="E13" s="6" t="n">
        <f aca="false">B13*D13</f>
        <v>6</v>
      </c>
    </row>
    <row r="14" customFormat="false" ht="15" hidden="false" customHeight="true" outlineLevel="0" collapsed="false">
      <c r="A14" s="3" t="s">
        <v>30</v>
      </c>
      <c r="B14" s="4" t="n">
        <v>2</v>
      </c>
      <c r="C14" s="5" t="s">
        <v>31</v>
      </c>
      <c r="D14" s="6" t="n">
        <v>3.42</v>
      </c>
      <c r="E14" s="6" t="n">
        <f aca="false">B14*D14</f>
        <v>6.84</v>
      </c>
    </row>
    <row r="15" customFormat="false" ht="15" hidden="false" customHeight="true" outlineLevel="0" collapsed="false">
      <c r="A15" s="3" t="s">
        <v>32</v>
      </c>
      <c r="B15" s="4" t="n">
        <v>2</v>
      </c>
      <c r="C15" s="5" t="s">
        <v>31</v>
      </c>
      <c r="D15" s="6" t="n">
        <v>3.07</v>
      </c>
      <c r="E15" s="6" t="n">
        <f aca="false">B15*D15</f>
        <v>6.14</v>
      </c>
    </row>
    <row r="16" customFormat="false" ht="15" hidden="false" customHeight="true" outlineLevel="0" collapsed="false">
      <c r="A16" s="3" t="s">
        <v>33</v>
      </c>
      <c r="B16" s="4" t="n">
        <v>2</v>
      </c>
      <c r="C16" s="5" t="s">
        <v>31</v>
      </c>
      <c r="D16" s="6" t="n">
        <v>3.82</v>
      </c>
      <c r="E16" s="6" t="n">
        <f aca="false">B16*D16</f>
        <v>7.64</v>
      </c>
    </row>
    <row r="17" customFormat="false" ht="15" hidden="false" customHeight="true" outlineLevel="0" collapsed="false">
      <c r="A17" s="3" t="s">
        <v>34</v>
      </c>
      <c r="B17" s="4" t="n">
        <v>2</v>
      </c>
      <c r="C17" s="5" t="s">
        <v>31</v>
      </c>
      <c r="D17" s="6" t="n">
        <v>3.04</v>
      </c>
      <c r="E17" s="6" t="n">
        <f aca="false">B17*D17</f>
        <v>6.08</v>
      </c>
    </row>
    <row r="18" customFormat="false" ht="15" hidden="false" customHeight="true" outlineLevel="0" collapsed="false">
      <c r="A18" s="3" t="s">
        <v>35</v>
      </c>
      <c r="B18" s="4" t="n">
        <v>2</v>
      </c>
      <c r="C18" s="5" t="s">
        <v>31</v>
      </c>
      <c r="D18" s="6" t="n">
        <v>2.65</v>
      </c>
      <c r="E18" s="6" t="n">
        <f aca="false">B18*D18</f>
        <v>5.3</v>
      </c>
    </row>
    <row r="19" customFormat="false" ht="15" hidden="false" customHeight="true" outlineLevel="0" collapsed="false">
      <c r="A19" s="3" t="s">
        <v>36</v>
      </c>
      <c r="B19" s="4" t="n">
        <v>2</v>
      </c>
      <c r="C19" s="5" t="s">
        <v>37</v>
      </c>
      <c r="D19" s="6" t="n">
        <v>6</v>
      </c>
      <c r="E19" s="6" t="n">
        <f aca="false">B19*D19</f>
        <v>12</v>
      </c>
    </row>
    <row r="20" customFormat="false" ht="15" hidden="false" customHeight="true" outlineLevel="0" collapsed="false">
      <c r="A20" s="3" t="s">
        <v>38</v>
      </c>
      <c r="B20" s="4" t="n">
        <v>2</v>
      </c>
      <c r="C20" s="5" t="s">
        <v>39</v>
      </c>
      <c r="D20" s="6" t="n">
        <v>3</v>
      </c>
      <c r="E20" s="6" t="n">
        <f aca="false">B20*D20</f>
        <v>6</v>
      </c>
    </row>
    <row r="21" customFormat="false" ht="15" hidden="false" customHeight="true" outlineLevel="0" collapsed="false">
      <c r="A21" s="3" t="s">
        <v>40</v>
      </c>
      <c r="B21" s="4" t="n">
        <v>2</v>
      </c>
      <c r="C21" s="5" t="s">
        <v>39</v>
      </c>
      <c r="D21" s="6" t="n">
        <v>3</v>
      </c>
      <c r="E21" s="6" t="n">
        <f aca="false">B21*D21</f>
        <v>6</v>
      </c>
    </row>
    <row r="22" customFormat="false" ht="15" hidden="false" customHeight="true" outlineLevel="0" collapsed="false">
      <c r="A22" s="3" t="s">
        <v>41</v>
      </c>
      <c r="B22" s="4" t="n">
        <v>2</v>
      </c>
      <c r="C22" s="5" t="s">
        <v>42</v>
      </c>
      <c r="D22" s="6" t="n">
        <v>25</v>
      </c>
      <c r="E22" s="6" t="n">
        <f aca="false">B22*D22</f>
        <v>50</v>
      </c>
    </row>
    <row r="23" customFormat="false" ht="15" hidden="false" customHeight="true" outlineLevel="0" collapsed="false">
      <c r="A23" s="3" t="s">
        <v>43</v>
      </c>
      <c r="B23" s="4" t="n">
        <v>2</v>
      </c>
      <c r="C23" s="5" t="s">
        <v>44</v>
      </c>
      <c r="D23" s="6" t="n">
        <v>3</v>
      </c>
      <c r="E23" s="6" t="n">
        <f aca="false">B23*D23</f>
        <v>6</v>
      </c>
    </row>
    <row r="24" customFormat="false" ht="15" hidden="false" customHeight="true" outlineLevel="0" collapsed="false">
      <c r="A24" s="3" t="s">
        <v>45</v>
      </c>
      <c r="B24" s="4" t="n">
        <v>2</v>
      </c>
      <c r="C24" s="5" t="s">
        <v>44</v>
      </c>
      <c r="D24" s="6" t="n">
        <v>3</v>
      </c>
      <c r="E24" s="6" t="n">
        <f aca="false">B24*D24</f>
        <v>6</v>
      </c>
    </row>
    <row r="25" customFormat="false" ht="15" hidden="false" customHeight="true" outlineLevel="0" collapsed="false">
      <c r="A25" s="3" t="s">
        <v>46</v>
      </c>
      <c r="B25" s="4" t="n">
        <v>2</v>
      </c>
      <c r="C25" s="5" t="s">
        <v>23</v>
      </c>
      <c r="D25" s="6" t="n">
        <v>20</v>
      </c>
      <c r="E25" s="6" t="n">
        <f aca="false">B25*D25</f>
        <v>40</v>
      </c>
    </row>
    <row r="26" customFormat="false" ht="15" hidden="false" customHeight="true" outlineLevel="0" collapsed="false">
      <c r="A26" s="3" t="s">
        <v>47</v>
      </c>
      <c r="B26" s="4" t="n">
        <v>2</v>
      </c>
      <c r="C26" s="5" t="s">
        <v>44</v>
      </c>
      <c r="D26" s="6" t="n">
        <v>15</v>
      </c>
      <c r="E26" s="6" t="n">
        <f aca="false">B26*D26</f>
        <v>30</v>
      </c>
    </row>
    <row r="27" customFormat="false" ht="15" hidden="false" customHeight="true" outlineLevel="0" collapsed="false">
      <c r="A27" s="7" t="s">
        <v>48</v>
      </c>
      <c r="E27" s="8" t="n">
        <f aca="false">SUM(E2:E26)</f>
        <v>1134.4</v>
      </c>
      <c r="F27" s="8" t="n">
        <f aca="false">SUM(E2:E26)</f>
        <v>1134.4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9" t="s">
        <v>49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50</v>
      </c>
    </row>
    <row r="4" customFormat="false" ht="15" hidden="false" customHeight="true" outlineLevel="0" collapsed="false">
      <c r="A4" s="3" t="s">
        <v>51</v>
      </c>
    </row>
    <row r="5" customFormat="false" ht="15" hidden="false" customHeight="true" outlineLevel="0" collapsed="false">
      <c r="A5" s="3" t="s">
        <v>52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3" t="s">
        <v>53</v>
      </c>
    </row>
    <row r="8" customFormat="false" ht="15" hidden="false" customHeight="true" outlineLevel="0" collapsed="false">
      <c r="A8" s="3" t="s">
        <v>54</v>
      </c>
    </row>
    <row r="9" customFormat="false" ht="15" hidden="false" customHeight="true" outlineLevel="0" collapsed="false">
      <c r="A9" s="3" t="s">
        <v>55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3" t="s">
        <v>56</v>
      </c>
    </row>
    <row r="12" customFormat="false" ht="15" hidden="false" customHeight="true" outlineLevel="0" collapsed="false">
      <c r="A12" s="3" t="s">
        <v>57</v>
      </c>
    </row>
    <row r="13" customFormat="false" ht="15" hidden="false" customHeight="true" outlineLevel="0" collapsed="false">
      <c r="A13" s="3" t="s">
        <v>58</v>
      </c>
    </row>
    <row r="14" customFormat="false" ht="15" hidden="false" customHeight="true" outlineLevel="0" collapsed="false">
      <c r="A14" s="3" t="s">
        <v>59</v>
      </c>
    </row>
    <row r="15" customFormat="false" ht="15" hidden="false" customHeight="true" outlineLevel="0" collapsed="false">
      <c r="A15" s="3" t="s">
        <v>60</v>
      </c>
    </row>
    <row r="16" customFormat="false" ht="15" hidden="false" customHeight="true" outlineLevel="0" collapsed="false">
      <c r="A16" s="3" t="s">
        <v>61</v>
      </c>
    </row>
    <row r="17" customFormat="false" ht="15" hidden="false" customHeight="true" outlineLevel="0" collapsed="false">
      <c r="A17" s="3" t="s">
        <v>62</v>
      </c>
    </row>
    <row r="18" customFormat="false" ht="15" hidden="false" customHeight="true" outlineLevel="0" collapsed="false">
      <c r="A18" s="3" t="s">
        <v>63</v>
      </c>
    </row>
    <row r="19" customFormat="false" ht="15" hidden="false" customHeight="true" outlineLevel="0" collapsed="false">
      <c r="A19" s="3" t="s">
        <v>64</v>
      </c>
    </row>
    <row r="21" customFormat="false" ht="15" hidden="false" customHeight="false" outlineLevel="0" collapsed="false">
      <c r="A21" s="10" t="s">
        <v>65</v>
      </c>
    </row>
    <row r="22" customFormat="false" ht="15" hidden="false" customHeight="false" outlineLevel="0" collapsed="false">
      <c r="A22" s="11" t="s">
        <v>66</v>
      </c>
    </row>
    <row r="23" customFormat="false" ht="15" hidden="false" customHeight="false" outlineLevel="0" collapsed="false">
      <c r="A23" s="11" t="s">
        <v>67</v>
      </c>
    </row>
    <row r="24" customFormat="false" ht="15" hidden="false" customHeight="false" outlineLevel="0" collapsed="false">
      <c r="A24" s="1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2026-06-28T00:28:02Z</dcterms:created>
  <dc:creator>openpyxl</dc:creator>
  <dc:description/>
  <dc:language>en-US</dc:language>
  <cp:lastModifiedBy/>
  <dcterms:modified xsi:type="dcterms:W3CDTF">2026-06-28T02:33:04Z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